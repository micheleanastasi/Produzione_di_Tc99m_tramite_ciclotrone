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424"/>
  <workbookPr defaultThemeVersion="166925"/>
  <xr:revisionPtr revIDLastSave="0" documentId="8_{DE7F64F8-E880-4D11-8D1D-36298E57283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Intro" sheetId="1" r:id="rId1"/>
    <sheet name="Attività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3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</calcChain>
</file>

<file path=xl/sharedStrings.xml><?xml version="1.0" encoding="utf-8"?>
<sst xmlns="http://schemas.openxmlformats.org/spreadsheetml/2006/main" count="36" uniqueCount="36">
  <si>
    <t>DATI SIMULAZIONE</t>
  </si>
  <si>
    <t>Fascio protoni</t>
  </si>
  <si>
    <t>uA</t>
  </si>
  <si>
    <t>Durata irr.</t>
  </si>
  <si>
    <t>h</t>
  </si>
  <si>
    <t>Spessore target</t>
  </si>
  <si>
    <t>um</t>
  </si>
  <si>
    <t>Diametro tgt</t>
  </si>
  <si>
    <t>cm</t>
  </si>
  <si>
    <t>Volume tgt</t>
  </si>
  <si>
    <t>cmc</t>
  </si>
  <si>
    <t>Primari FLUKA</t>
  </si>
  <si>
    <t>1.2e10</t>
  </si>
  <si>
    <t>OSS: vale solo come esempio, occorre rifare la simulazione per 50 uA</t>
  </si>
  <si>
    <t>Bq/cmc</t>
  </si>
  <si>
    <t>Bq</t>
  </si>
  <si>
    <t>Rapporto rispetto a 99mTc</t>
  </si>
  <si>
    <t>Tc-99</t>
  </si>
  <si>
    <t>Y-89</t>
  </si>
  <si>
    <t>Nb-89</t>
  </si>
  <si>
    <t>Zr-90</t>
  </si>
  <si>
    <t>Nb-90</t>
  </si>
  <si>
    <t>Nb-91</t>
  </si>
  <si>
    <t>Mo-91</t>
  </si>
  <si>
    <t>Nb-92</t>
  </si>
  <si>
    <t>Nb-93</t>
  </si>
  <si>
    <t>Mo-93</t>
  </si>
  <si>
    <t>Tc-93</t>
  </si>
  <si>
    <t>Nb-94</t>
  </si>
  <si>
    <t>Tc-94</t>
  </si>
  <si>
    <t>Nb-95</t>
  </si>
  <si>
    <t>Tc-95</t>
  </si>
  <si>
    <t>Tc-96</t>
  </si>
  <si>
    <t>Nb-97</t>
  </si>
  <si>
    <t>Tc-97</t>
  </si>
  <si>
    <t>Nb-100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</si>
</sst>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000%"/>
    <numFmt numFmtId="174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1" fillId="0" borderId="0" xfId="0" applyFont="1" applyAlignment="1">
      <alignment horizontal="right"/>
    </xf>
    <xf numFmtId="170" fontId="0" fillId="0" borderId="0" xfId="0" applyNumberFormat="1"/>
    <xf numFmtId="174" fontId="0" fillId="0" borderId="0" xfId="0" applyNumberFormat="1"/>
    <xf numFmtId="0" fontId="2" fillId="0" borderId="0" xfId="0" applyFont="1" applyFill="1"/>
    <xf numFmtId="11" fontId="2" fillId="0" borderId="0" xfId="0" applyNumberFormat="1" applyFont="1" applyFill="1"/>
    <xf numFmtId="170" fontId="2" fillId="0" borderId="0" xfId="0" applyNumberFormat="1" applyFont="1" applyFill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cols>
    <col min="1" max="1" width="14.5703125" customWidth="1"/>
    <col min="2" max="2" width="12.7109375" customWidth="1"/>
  </cols>
  <sheetData>
    <row r="1" spans="1:3">
      <c r="A1" s="2" t="s">
        <v>0</v>
      </c>
    </row>
    <row r="2" spans="1:3">
      <c r="A2" t="s">
        <v>1</v>
      </c>
      <c r="B2">
        <v>1</v>
      </c>
      <c r="C2" t="s">
        <v>2</v>
      </c>
    </row>
    <row r="3" spans="1:3">
      <c r="A3" t="s">
        <v>3</v>
      </c>
      <c r="B3">
        <v>1</v>
      </c>
      <c r="C3" t="s">
        <v>4</v>
      </c>
    </row>
    <row r="4" spans="1:3">
      <c r="A4" t="s">
        <v>5</v>
      </c>
      <c r="B4">
        <v>589</v>
      </c>
      <c r="C4" t="s">
        <v>6</v>
      </c>
    </row>
    <row r="5" spans="1:3">
      <c r="A5" t="s">
        <v>7</v>
      </c>
      <c r="B5">
        <v>1.5</v>
      </c>
      <c r="C5" t="s">
        <v>8</v>
      </c>
    </row>
    <row r="6" spans="1:3">
      <c r="A6" t="s">
        <v>9</v>
      </c>
      <c r="B6">
        <v>0.104084887</v>
      </c>
      <c r="C6" t="s">
        <v>10</v>
      </c>
    </row>
    <row r="7" spans="1:3">
      <c r="A7" t="s">
        <v>11</v>
      </c>
      <c r="B7" t="s">
        <v>12</v>
      </c>
    </row>
    <row r="9" spans="1:3">
      <c r="A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A04E-C301-440D-BA62-A8C7AB37DCF7}">
  <dimension ref="A1:D20"/>
  <sheetViews>
    <sheetView tabSelected="1" workbookViewId="0">
      <selection activeCell="F18" sqref="F18"/>
    </sheetView>
  </sheetViews>
  <sheetFormatPr defaultRowHeight="15"/>
  <cols>
    <col min="2" max="2" width="14" customWidth="1"/>
    <col min="3" max="3" width="13.140625" customWidth="1"/>
    <col min="4" max="4" width="25.140625" customWidth="1"/>
  </cols>
  <sheetData>
    <row r="1" spans="1:4">
      <c r="B1" s="4" t="s">
        <v>14</v>
      </c>
      <c r="C1" s="4" t="s">
        <v>15</v>
      </c>
      <c r="D1" s="2" t="s">
        <v>16</v>
      </c>
    </row>
    <row r="2" spans="1:4">
      <c r="A2" s="2" t="s">
        <v>17</v>
      </c>
      <c r="B2" s="3">
        <v>9240000000</v>
      </c>
      <c r="C2" s="3">
        <f>B2*Intro!$B$6</f>
        <v>961744355.88</v>
      </c>
      <c r="D2" s="6">
        <f>C2/$C$2</f>
        <v>1</v>
      </c>
    </row>
    <row r="3" spans="1:4">
      <c r="A3" t="s">
        <v>18</v>
      </c>
      <c r="B3" s="1">
        <v>609</v>
      </c>
      <c r="C3" s="1">
        <f>B3*Intro!$B$6</f>
        <v>63.387696183000003</v>
      </c>
      <c r="D3" s="5">
        <f>C3/$C$2</f>
        <v>6.5909090909090916E-8</v>
      </c>
    </row>
    <row r="4" spans="1:4">
      <c r="A4" t="s">
        <v>19</v>
      </c>
      <c r="B4" s="1">
        <v>76600</v>
      </c>
      <c r="C4" s="1">
        <f>B4*Intro!$B$6</f>
        <v>7972.9023441999998</v>
      </c>
      <c r="D4" s="5">
        <f t="shared" ref="D4:D20" si="0">C4/$C$2</f>
        <v>8.2900432900432897E-6</v>
      </c>
    </row>
    <row r="5" spans="1:4">
      <c r="A5" t="s">
        <v>20</v>
      </c>
      <c r="B5" s="1">
        <v>75700</v>
      </c>
      <c r="C5" s="1">
        <f>B5*Intro!$B$6</f>
        <v>7879.2259458999997</v>
      </c>
      <c r="D5" s="5">
        <f t="shared" si="0"/>
        <v>8.1926406926406923E-6</v>
      </c>
    </row>
    <row r="6" spans="1:4">
      <c r="A6" t="s">
        <v>21</v>
      </c>
      <c r="B6" s="1">
        <v>7470</v>
      </c>
      <c r="C6" s="1">
        <f>B6*Intro!$B$6</f>
        <v>777.51410589</v>
      </c>
      <c r="D6" s="5">
        <f t="shared" si="0"/>
        <v>8.0844155844155843E-7</v>
      </c>
    </row>
    <row r="7" spans="1:4">
      <c r="A7" t="s">
        <v>22</v>
      </c>
      <c r="B7" s="1">
        <v>1800</v>
      </c>
      <c r="C7" s="1">
        <f>B7*Intro!$B$6</f>
        <v>187.3527966</v>
      </c>
      <c r="D7" s="5">
        <f t="shared" si="0"/>
        <v>1.9480519480519481E-7</v>
      </c>
    </row>
    <row r="8" spans="1:4">
      <c r="A8" s="7" t="s">
        <v>23</v>
      </c>
      <c r="B8" s="8">
        <v>2170000</v>
      </c>
      <c r="C8" s="8">
        <f>B8*Intro!$B$6</f>
        <v>225864.20478999999</v>
      </c>
      <c r="D8" s="9">
        <f t="shared" si="0"/>
        <v>2.3484848484848483E-4</v>
      </c>
    </row>
    <row r="9" spans="1:4">
      <c r="A9" t="s">
        <v>24</v>
      </c>
      <c r="B9" s="1">
        <v>2150</v>
      </c>
      <c r="C9" s="1">
        <f>B9*Intro!$B$6</f>
        <v>223.78250704999999</v>
      </c>
      <c r="D9" s="5">
        <f t="shared" si="0"/>
        <v>2.3268398268398269E-7</v>
      </c>
    </row>
    <row r="10" spans="1:4">
      <c r="A10" t="s">
        <v>25</v>
      </c>
      <c r="B10" s="1">
        <v>1.79</v>
      </c>
      <c r="C10" s="1">
        <f>B10*Intro!$B$6</f>
        <v>0.18631194773000001</v>
      </c>
      <c r="D10" s="5">
        <f t="shared" si="0"/>
        <v>1.9372294372294374E-10</v>
      </c>
    </row>
    <row r="11" spans="1:4">
      <c r="A11" t="s">
        <v>26</v>
      </c>
      <c r="B11" s="1">
        <v>305000</v>
      </c>
      <c r="C11" s="1">
        <f>B11*Intro!$B$6</f>
        <v>31745.890534999999</v>
      </c>
      <c r="D11" s="5">
        <f t="shared" si="0"/>
        <v>3.3008658008658005E-5</v>
      </c>
    </row>
    <row r="12" spans="1:4">
      <c r="A12" s="7" t="s">
        <v>27</v>
      </c>
      <c r="B12" s="8">
        <v>8660000</v>
      </c>
      <c r="C12" s="8">
        <f>B12*Intro!$B$6</f>
        <v>901375.12141999998</v>
      </c>
      <c r="D12" s="9">
        <f t="shared" si="0"/>
        <v>9.3722943722943726E-4</v>
      </c>
    </row>
    <row r="13" spans="1:4">
      <c r="A13" t="s">
        <v>28</v>
      </c>
      <c r="B13" s="1">
        <v>289000</v>
      </c>
      <c r="C13" s="1">
        <f>B13*Intro!$B$6</f>
        <v>30080.532342999999</v>
      </c>
      <c r="D13" s="5">
        <f t="shared" si="0"/>
        <v>3.1277056277056276E-5</v>
      </c>
    </row>
    <row r="14" spans="1:4">
      <c r="A14" s="7" t="s">
        <v>29</v>
      </c>
      <c r="B14" s="8">
        <v>25400000</v>
      </c>
      <c r="C14" s="8">
        <f>B14*Intro!$B$6</f>
        <v>2643756.1298000002</v>
      </c>
      <c r="D14" s="9">
        <f t="shared" si="0"/>
        <v>2.748917748917749E-3</v>
      </c>
    </row>
    <row r="15" spans="1:4">
      <c r="A15" t="s">
        <v>30</v>
      </c>
      <c r="B15" s="1">
        <v>1230</v>
      </c>
      <c r="C15" s="1">
        <f>B15*Intro!$B$6</f>
        <v>128.02441100999999</v>
      </c>
      <c r="D15" s="5">
        <f t="shared" si="0"/>
        <v>1.3311688311688312E-7</v>
      </c>
    </row>
    <row r="16" spans="1:4">
      <c r="A16" t="s">
        <v>31</v>
      </c>
      <c r="B16" s="1">
        <v>22800</v>
      </c>
      <c r="C16" s="1">
        <f>B16*Intro!$B$6</f>
        <v>2373.1354236000002</v>
      </c>
      <c r="D16" s="5">
        <f t="shared" si="0"/>
        <v>2.4675324675324676E-6</v>
      </c>
    </row>
    <row r="17" spans="1:4">
      <c r="A17" s="7" t="s">
        <v>32</v>
      </c>
      <c r="B17" s="8">
        <v>26700000</v>
      </c>
      <c r="C17" s="8">
        <f>B17*Intro!$B$6</f>
        <v>2779066.4829000002</v>
      </c>
      <c r="D17" s="9">
        <f t="shared" si="0"/>
        <v>2.8896103896103899E-3</v>
      </c>
    </row>
    <row r="18" spans="1:4">
      <c r="A18" s="7" t="s">
        <v>33</v>
      </c>
      <c r="B18" s="8">
        <v>32000000</v>
      </c>
      <c r="C18" s="8">
        <f>B18*Intro!$B$6</f>
        <v>3330716.3840000001</v>
      </c>
      <c r="D18" s="9">
        <f t="shared" si="0"/>
        <v>3.4632034632034632E-3</v>
      </c>
    </row>
    <row r="19" spans="1:4">
      <c r="A19" t="s">
        <v>34</v>
      </c>
      <c r="B19" s="1">
        <v>31400</v>
      </c>
      <c r="C19" s="1">
        <f>B19*Intro!$B$6</f>
        <v>3268.2654517999999</v>
      </c>
      <c r="D19" s="5">
        <f t="shared" si="0"/>
        <v>3.3982683982683981E-6</v>
      </c>
    </row>
    <row r="20" spans="1:4">
      <c r="A20" t="s">
        <v>35</v>
      </c>
      <c r="B20" s="1">
        <v>2440</v>
      </c>
      <c r="C20" s="1">
        <f>B20*Intro!$B$6</f>
        <v>253.96712428000001</v>
      </c>
      <c r="D20" s="5">
        <f t="shared" si="0"/>
        <v>2.6406926406926409E-7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2023-04-30T08:46:56Z</dcterms:created>
  <dcterms:modified xsi:type="dcterms:W3CDTF">2023-04-30T09:24:56Z</dcterms:modified>
  <cp:category/>
  <cp:contentStatus/>
</cp:coreProperties>
</file>