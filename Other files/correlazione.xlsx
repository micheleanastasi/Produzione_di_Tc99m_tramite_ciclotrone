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imi365-my.sharepoint.com/personal/10720398_polimi_it/Documents/"/>
    </mc:Choice>
  </mc:AlternateContent>
  <xr:revisionPtr revIDLastSave="184" documentId="8_{6E25F54B-B45A-4EB0-B647-3C415BE32AE4}" xr6:coauthVersionLast="47" xr6:coauthVersionMax="47" xr10:uidLastSave="{54702812-DFD1-5A4C-94D5-0C2E37F254ED}"/>
  <bookViews>
    <workbookView xWindow="14295" yWindow="0" windowWidth="14610" windowHeight="15585" xr2:uid="{D2D8C722-624C-4CC1-AE9A-5A60224CB51A}"/>
  </bookViews>
  <sheets>
    <sheet name="Acqua" sheetId="2" r:id="rId1"/>
    <sheet name="Elio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C4" i="2"/>
  <c r="C8" i="2"/>
  <c r="C7" i="2"/>
  <c r="H5" i="3"/>
  <c r="H3" i="3"/>
  <c r="H4" i="3"/>
  <c r="H6" i="3"/>
  <c r="H8" i="3"/>
  <c r="H6" i="2"/>
  <c r="H4" i="2"/>
  <c r="H5" i="2"/>
  <c r="C18" i="2"/>
  <c r="H7" i="2"/>
  <c r="H9" i="2"/>
</calcChain>
</file>

<file path=xl/sharedStrings.xml><?xml version="1.0" encoding="utf-8"?>
<sst xmlns="http://schemas.openxmlformats.org/spreadsheetml/2006/main" count="84" uniqueCount="46">
  <si>
    <t>L1</t>
  </si>
  <si>
    <t>m</t>
  </si>
  <si>
    <t>Velocità</t>
  </si>
  <si>
    <t>v</t>
  </si>
  <si>
    <t>m/s</t>
  </si>
  <si>
    <t>L2</t>
  </si>
  <si>
    <t>Reynolds</t>
  </si>
  <si>
    <t>Re</t>
  </si>
  <si>
    <t>Lunghezza</t>
  </si>
  <si>
    <t>L3</t>
  </si>
  <si>
    <t>Prandl</t>
  </si>
  <si>
    <t>Pr</t>
  </si>
  <si>
    <t>Diametro idr</t>
  </si>
  <si>
    <t>Dh</t>
  </si>
  <si>
    <t>Nusselt</t>
  </si>
  <si>
    <t>Nu</t>
  </si>
  <si>
    <t>Sezione</t>
  </si>
  <si>
    <t>S</t>
  </si>
  <si>
    <t>m^2</t>
  </si>
  <si>
    <t>coeff</t>
  </si>
  <si>
    <t>h</t>
  </si>
  <si>
    <t>Densità</t>
  </si>
  <si>
    <t>rho</t>
  </si>
  <si>
    <t>kg/mc</t>
  </si>
  <si>
    <t>viscosità</t>
  </si>
  <si>
    <t>nu</t>
  </si>
  <si>
    <t>Pa/s</t>
  </si>
  <si>
    <t>Cap termica</t>
  </si>
  <si>
    <t>cp</t>
  </si>
  <si>
    <t>J/kgK</t>
  </si>
  <si>
    <t>Cond termica</t>
  </si>
  <si>
    <t>kp</t>
  </si>
  <si>
    <t>W/mK</t>
  </si>
  <si>
    <t>flusso</t>
  </si>
  <si>
    <t>G</t>
  </si>
  <si>
    <t>kg/s</t>
  </si>
  <si>
    <t>Nu = 0.332 Re^0.5 * Pr^0.33</t>
  </si>
  <si>
    <t>Fluido laminare su superficie</t>
  </si>
  <si>
    <t>Lato</t>
  </si>
  <si>
    <t>Spessore</t>
  </si>
  <si>
    <t>Diametro tgt</t>
  </si>
  <si>
    <t>D</t>
  </si>
  <si>
    <t>vm</t>
  </si>
  <si>
    <t>cm</t>
  </si>
  <si>
    <t>Diametro area</t>
  </si>
  <si>
    <t>Diametro condotte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</si>
</sst>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0" fontId="0" fillId="0" borderId="0" xfId="0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5F7F7-7AD0-4D4E-9C51-E91C7125A739}">
  <dimension ref="A2:I18"/>
  <sheetViews>
    <sheetView tabSelected="1" workbookViewId="0">
      <selection activeCell="E29" sqref="E29"/>
    </sheetView>
  </sheetViews>
  <sheetFormatPr defaultRowHeight="15" x14ac:dyDescent="0.2"/>
  <cols>
    <col min="1" max="1" width="14.66015625" customWidth="1"/>
    <col min="3" max="3" width="11.703125" customWidth="1"/>
    <col min="8" max="8" width="10.22265625" customWidth="1"/>
  </cols>
  <sheetData>
    <row r="2" spans="1:9" x14ac:dyDescent="0.2">
      <c r="A2" s="2" t="s">
        <v>36</v>
      </c>
      <c r="C2" t="s">
        <v>37</v>
      </c>
    </row>
    <row r="4" spans="1:9" x14ac:dyDescent="0.2">
      <c r="A4" t="s">
        <v>38</v>
      </c>
      <c r="B4" t="s">
        <v>0</v>
      </c>
      <c r="C4">
        <f>C18*2</f>
        <v>2.5139999999999999E-2</v>
      </c>
      <c r="D4" t="s">
        <v>1</v>
      </c>
      <c r="F4" t="s">
        <v>2</v>
      </c>
      <c r="G4" t="s">
        <v>3</v>
      </c>
      <c r="H4">
        <f>C15/(C10*C8)</f>
        <v>2.651816494298595E-2</v>
      </c>
      <c r="I4" t="s">
        <v>4</v>
      </c>
    </row>
    <row r="5" spans="1:9" x14ac:dyDescent="0.2">
      <c r="A5" t="s">
        <v>39</v>
      </c>
      <c r="B5" t="s">
        <v>5</v>
      </c>
      <c r="C5">
        <v>1.5E-3</v>
      </c>
      <c r="D5" t="s">
        <v>1</v>
      </c>
      <c r="F5" t="s">
        <v>6</v>
      </c>
      <c r="G5" t="s">
        <v>7</v>
      </c>
      <c r="H5" s="4">
        <f>(H4*C10*C7)/C11</f>
        <v>84.354016938286605</v>
      </c>
    </row>
    <row r="6" spans="1:9" x14ac:dyDescent="0.2">
      <c r="A6" t="s">
        <v>8</v>
      </c>
      <c r="B6" t="s">
        <v>9</v>
      </c>
      <c r="C6">
        <v>0.04</v>
      </c>
      <c r="D6" t="s">
        <v>1</v>
      </c>
      <c r="F6" t="s">
        <v>10</v>
      </c>
      <c r="G6" t="s">
        <v>11</v>
      </c>
      <c r="H6" s="4">
        <f>(C12*C11)/C13</f>
        <v>6.2092333333333327</v>
      </c>
    </row>
    <row r="7" spans="1:9" x14ac:dyDescent="0.2">
      <c r="A7" t="s">
        <v>12</v>
      </c>
      <c r="B7" t="s">
        <v>13</v>
      </c>
      <c r="C7">
        <f>4*(C8)/(2*C4+2*C5)</f>
        <v>2.8310810810810807E-3</v>
      </c>
      <c r="D7" t="s">
        <v>1</v>
      </c>
      <c r="F7" t="s">
        <v>14</v>
      </c>
      <c r="G7" t="s">
        <v>15</v>
      </c>
      <c r="H7">
        <f>0.332*(H5^0.5)*H6^0.33</f>
        <v>5.5704913149634017</v>
      </c>
    </row>
    <row r="8" spans="1:9" x14ac:dyDescent="0.2">
      <c r="A8" t="s">
        <v>16</v>
      </c>
      <c r="B8" t="s">
        <v>17</v>
      </c>
      <c r="C8">
        <f>C4*C5</f>
        <v>3.7709999999999996E-5</v>
      </c>
      <c r="D8" t="s">
        <v>18</v>
      </c>
    </row>
    <row r="9" spans="1:9" x14ac:dyDescent="0.2">
      <c r="F9" s="2" t="s">
        <v>19</v>
      </c>
      <c r="G9" s="2" t="s">
        <v>20</v>
      </c>
      <c r="H9" s="3">
        <f>(C13/C7)*H7</f>
        <v>1180.5719063693321</v>
      </c>
    </row>
    <row r="10" spans="1:9" x14ac:dyDescent="0.2">
      <c r="A10" t="s">
        <v>21</v>
      </c>
      <c r="B10" t="s">
        <v>22</v>
      </c>
      <c r="C10">
        <v>1000</v>
      </c>
      <c r="D10" t="s">
        <v>23</v>
      </c>
    </row>
    <row r="11" spans="1:9" x14ac:dyDescent="0.2">
      <c r="A11" t="s">
        <v>24</v>
      </c>
      <c r="B11" t="s">
        <v>25</v>
      </c>
      <c r="C11" s="1">
        <v>8.8999999999999995E-4</v>
      </c>
      <c r="D11" t="s">
        <v>26</v>
      </c>
    </row>
    <row r="12" spans="1:9" x14ac:dyDescent="0.2">
      <c r="A12" t="s">
        <v>27</v>
      </c>
      <c r="B12" t="s">
        <v>28</v>
      </c>
      <c r="C12">
        <v>4186</v>
      </c>
      <c r="D12" t="s">
        <v>29</v>
      </c>
    </row>
    <row r="13" spans="1:9" x14ac:dyDescent="0.2">
      <c r="A13" t="s">
        <v>30</v>
      </c>
      <c r="B13" t="s">
        <v>31</v>
      </c>
      <c r="C13">
        <v>0.6</v>
      </c>
      <c r="D13" t="s">
        <v>32</v>
      </c>
    </row>
    <row r="15" spans="1:9" x14ac:dyDescent="0.2">
      <c r="A15" t="s">
        <v>33</v>
      </c>
      <c r="B15" t="s">
        <v>34</v>
      </c>
      <c r="C15">
        <v>1E-3</v>
      </c>
      <c r="D15" t="s">
        <v>35</v>
      </c>
    </row>
    <row r="17" spans="1:4" x14ac:dyDescent="0.2">
      <c r="A17" t="s">
        <v>40</v>
      </c>
      <c r="B17" t="s">
        <v>41</v>
      </c>
      <c r="C17">
        <v>3.2000000000000001E-2</v>
      </c>
    </row>
    <row r="18" spans="1:4" x14ac:dyDescent="0.2">
      <c r="A18" t="s">
        <v>42</v>
      </c>
      <c r="C18">
        <f>1.257*0.01</f>
        <v>1.257E-2</v>
      </c>
      <c r="D18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E5DC5-A2CC-4FEE-85F4-3432B5BA2CD7}">
  <dimension ref="A1:I14"/>
  <sheetViews>
    <sheetView topLeftCell="J1" workbookViewId="0">
      <selection activeCell="D27" sqref="D27"/>
    </sheetView>
  </sheetViews>
  <sheetFormatPr defaultRowHeight="15" x14ac:dyDescent="0.2"/>
  <cols>
    <col min="1" max="1" width="16.94921875" customWidth="1"/>
    <col min="2" max="2" width="13.31640625" customWidth="1"/>
    <col min="3" max="3" width="11.97265625" bestFit="1" customWidth="1"/>
    <col min="8" max="8" width="12.9140625" customWidth="1"/>
  </cols>
  <sheetData>
    <row r="1" spans="1:9" x14ac:dyDescent="0.2">
      <c r="A1" s="2" t="s">
        <v>36</v>
      </c>
      <c r="C1" t="s">
        <v>37</v>
      </c>
    </row>
    <row r="3" spans="1:9" x14ac:dyDescent="0.2">
      <c r="A3" t="s">
        <v>44</v>
      </c>
      <c r="B3" t="s">
        <v>0</v>
      </c>
      <c r="C3">
        <v>3.2000000000000001E-2</v>
      </c>
      <c r="D3" t="s">
        <v>1</v>
      </c>
      <c r="F3" t="s">
        <v>2</v>
      </c>
      <c r="G3" t="s">
        <v>3</v>
      </c>
      <c r="H3">
        <f>C14/(C9*C5)</f>
        <v>0.99471923452773925</v>
      </c>
      <c r="I3" t="s">
        <v>4</v>
      </c>
    </row>
    <row r="4" spans="1:9" x14ac:dyDescent="0.2">
      <c r="A4" t="s">
        <v>45</v>
      </c>
      <c r="B4" t="s">
        <v>13</v>
      </c>
      <c r="C4">
        <v>3.2000000000000001E-2</v>
      </c>
      <c r="D4" t="s">
        <v>1</v>
      </c>
      <c r="F4" t="s">
        <v>6</v>
      </c>
      <c r="G4" t="s">
        <v>7</v>
      </c>
      <c r="H4" s="4">
        <f>(H3*C9*C3)/C10</f>
        <v>203003.92541382436</v>
      </c>
    </row>
    <row r="5" spans="1:9" x14ac:dyDescent="0.2">
      <c r="A5" t="s">
        <v>16</v>
      </c>
      <c r="B5" t="s">
        <v>17</v>
      </c>
      <c r="C5">
        <f>3.14159*(C4^2)/4</f>
        <v>8.0424703999999996E-4</v>
      </c>
      <c r="D5" t="s">
        <v>18</v>
      </c>
      <c r="F5" t="s">
        <v>10</v>
      </c>
      <c r="G5" t="s">
        <v>11</v>
      </c>
      <c r="H5" s="4">
        <f>(C11*C10)/C12</f>
        <v>7.0139999999999992E-4</v>
      </c>
    </row>
    <row r="6" spans="1:9" x14ac:dyDescent="0.2">
      <c r="F6" t="s">
        <v>14</v>
      </c>
      <c r="G6" t="s">
        <v>15</v>
      </c>
      <c r="H6">
        <f>0.332*(H4^0.5)*H5^0.33</f>
        <v>13.616296598428393</v>
      </c>
    </row>
    <row r="8" spans="1:9" x14ac:dyDescent="0.2">
      <c r="F8" s="2" t="s">
        <v>19</v>
      </c>
      <c r="G8" s="2" t="s">
        <v>20</v>
      </c>
      <c r="H8" s="3">
        <f>(C12/C4)*H6</f>
        <v>59.57129761812422</v>
      </c>
    </row>
    <row r="9" spans="1:9" ht="13.5" customHeight="1" x14ac:dyDescent="0.2">
      <c r="A9" t="s">
        <v>21</v>
      </c>
      <c r="B9" t="s">
        <v>22</v>
      </c>
      <c r="C9" s="5">
        <v>125</v>
      </c>
      <c r="D9" t="s">
        <v>23</v>
      </c>
    </row>
    <row r="10" spans="1:9" x14ac:dyDescent="0.2">
      <c r="A10" t="s">
        <v>24</v>
      </c>
      <c r="B10" t="s">
        <v>25</v>
      </c>
      <c r="C10" s="1">
        <v>1.9599999999999999E-5</v>
      </c>
      <c r="D10" t="s">
        <v>26</v>
      </c>
    </row>
    <row r="11" spans="1:9" x14ac:dyDescent="0.2">
      <c r="A11" t="s">
        <v>27</v>
      </c>
      <c r="B11" t="s">
        <v>28</v>
      </c>
      <c r="C11">
        <v>5.01</v>
      </c>
      <c r="D11" t="s">
        <v>29</v>
      </c>
    </row>
    <row r="12" spans="1:9" x14ac:dyDescent="0.2">
      <c r="A12" t="s">
        <v>30</v>
      </c>
      <c r="B12" t="s">
        <v>31</v>
      </c>
      <c r="C12">
        <v>0.14000000000000001</v>
      </c>
      <c r="D12" t="s">
        <v>32</v>
      </c>
    </row>
    <row r="14" spans="1:9" x14ac:dyDescent="0.2">
      <c r="A14" t="s">
        <v>33</v>
      </c>
      <c r="B14" t="s">
        <v>34</v>
      </c>
      <c r="C14">
        <v>0.1</v>
      </c>
      <c r="D1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Acqua</vt:lpstr>
      <vt:lpstr>Elio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Michele Anastasi</dc:creator>
  <cp:keywords/>
  <dc:description/>
  <cp:lastModifiedBy>Michele Anastasi</cp:lastModifiedBy>
  <cp:revision/>
  <dcterms:created xsi:type="dcterms:W3CDTF">2023-05-01T12:10:13Z</dcterms:created>
  <dcterms:modified xsi:type="dcterms:W3CDTF">2023-06-05T17:15:31Z</dcterms:modified>
  <cp:category/>
  <cp:contentStatus/>
</cp:coreProperties>
</file>